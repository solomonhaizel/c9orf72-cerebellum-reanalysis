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data" sheetId="1" state="visible" r:id="rId3"/>
    <sheet name="Group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<sst xmlns="http://schemas.openxmlformats.org/spreadsheetml/2006/main" count="48" uniqueCount="31">
  <si>
    <t xml:space="preserve">Sample (GEO GSM)</t>
  </si>
  <si>
    <t xml:space="preserve">Group</t>
  </si>
  <si>
    <t xml:space="preserve">Raw read count</t>
  </si>
  <si>
    <t xml:space="preserve">Size factor</t>
  </si>
  <si>
    <t xml:space="preserve">Normalized count</t>
  </si>
  <si>
    <t xml:space="preserve">GSM1642314</t>
  </si>
  <si>
    <t xml:space="preserve">control</t>
  </si>
  <si>
    <t xml:space="preserve">GSM1642316</t>
  </si>
  <si>
    <t xml:space="preserve">GSM1642318</t>
  </si>
  <si>
    <t xml:space="preserve">GSM1642320</t>
  </si>
  <si>
    <t xml:space="preserve">GSM1642322</t>
  </si>
  <si>
    <t xml:space="preserve">GSM1642324</t>
  </si>
  <si>
    <t xml:space="preserve">GSM1642326</t>
  </si>
  <si>
    <t xml:space="preserve">GSM1642328</t>
  </si>
  <si>
    <t xml:space="preserve">GSM1642278</t>
  </si>
  <si>
    <t xml:space="preserve">c9ALS</t>
  </si>
  <si>
    <t xml:space="preserve">GSM1642280</t>
  </si>
  <si>
    <t xml:space="preserve">GSM1642282</t>
  </si>
  <si>
    <t xml:space="preserve">GSM1642284</t>
  </si>
  <si>
    <t xml:space="preserve">GSM1642286</t>
  </si>
  <si>
    <t xml:space="preserve">GSM1642288</t>
  </si>
  <si>
    <t xml:space="preserve">GSM1642290</t>
  </si>
  <si>
    <t xml:space="preserve">GSM1642292</t>
  </si>
  <si>
    <t xml:space="preserve">C9ORF72 normalized expression by group (control vs C9-ALS)</t>
  </si>
  <si>
    <t xml:space="preserve">n</t>
  </si>
  <si>
    <t xml:space="preserve">Mean</t>
  </si>
  <si>
    <t xml:space="preserve">Median</t>
  </si>
  <si>
    <t xml:space="preserve">SD</t>
  </si>
  <si>
    <t xml:space="preserve">SEM</t>
  </si>
  <si>
    <t xml:space="preserve">Fold change vs control</t>
  </si>
  <si>
    <t xml:space="preserve">Group comparison: two-sided Mann-Whitney U test, computed in analysis/c9_stats.py (SciPy) and written to results/stats.tsv. It is not an Excel formula and is not duplicated here, to keep every value in this workbook reproducible from the data above.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</si>
</sst>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3" t="s">
        <v>6</v>
      </c>
      <c r="C2" s="3" t="n">
        <v>1586</v>
      </c>
      <c r="D2" s="3" t="n">
        <v>0.9264</v>
      </c>
      <c r="E2" s="3" t="n">
        <v>1712.0035</v>
      </c>
    </row>
    <row r="3" customFormat="false" ht="15" hidden="false" customHeight="true" outlineLevel="0" collapsed="false">
      <c r="A3" s="3" t="s">
        <v>7</v>
      </c>
      <c r="B3" s="3" t="s">
        <v>6</v>
      </c>
      <c r="C3" s="3" t="n">
        <v>2571</v>
      </c>
      <c r="D3" s="3" t="n">
        <v>1.2286</v>
      </c>
      <c r="E3" s="3" t="n">
        <v>2092.6258</v>
      </c>
    </row>
    <row r="4" customFormat="false" ht="15" hidden="false" customHeight="true" outlineLevel="0" collapsed="false">
      <c r="A4" s="3" t="s">
        <v>8</v>
      </c>
      <c r="B4" s="3" t="s">
        <v>6</v>
      </c>
      <c r="C4" s="3" t="n">
        <v>2361</v>
      </c>
      <c r="D4" s="3" t="n">
        <v>1.3308</v>
      </c>
      <c r="E4" s="3" t="n">
        <v>1774.1208</v>
      </c>
    </row>
    <row r="5" customFormat="false" ht="15" hidden="false" customHeight="true" outlineLevel="0" collapsed="false">
      <c r="A5" s="3" t="s">
        <v>9</v>
      </c>
      <c r="B5" s="3" t="s">
        <v>6</v>
      </c>
      <c r="C5" s="3" t="n">
        <v>2735</v>
      </c>
      <c r="D5" s="3" t="n">
        <v>1.3213</v>
      </c>
      <c r="E5" s="3" t="n">
        <v>2069.9311</v>
      </c>
    </row>
    <row r="6" customFormat="false" ht="15" hidden="false" customHeight="true" outlineLevel="0" collapsed="false">
      <c r="A6" s="3" t="s">
        <v>10</v>
      </c>
      <c r="B6" s="3" t="s">
        <v>6</v>
      </c>
      <c r="C6" s="3" t="n">
        <v>2830</v>
      </c>
      <c r="D6" s="3" t="n">
        <v>1.41</v>
      </c>
      <c r="E6" s="3" t="n">
        <v>2007.0922</v>
      </c>
    </row>
    <row r="7" customFormat="false" ht="15" hidden="false" customHeight="true" outlineLevel="0" collapsed="false">
      <c r="A7" s="3" t="s">
        <v>11</v>
      </c>
      <c r="B7" s="3" t="s">
        <v>6</v>
      </c>
      <c r="C7" s="3" t="n">
        <v>2150</v>
      </c>
      <c r="D7" s="3" t="n">
        <v>1.1784</v>
      </c>
      <c r="E7" s="3" t="n">
        <v>1824.5078</v>
      </c>
    </row>
    <row r="8" customFormat="false" ht="15" hidden="false" customHeight="true" outlineLevel="0" collapsed="false">
      <c r="A8" s="3" t="s">
        <v>12</v>
      </c>
      <c r="B8" s="3" t="s">
        <v>6</v>
      </c>
      <c r="C8" s="3" t="n">
        <v>1077</v>
      </c>
      <c r="D8" s="3" t="n">
        <v>0.81</v>
      </c>
      <c r="E8" s="3" t="n">
        <v>1329.6296</v>
      </c>
    </row>
    <row r="9" customFormat="false" ht="15" hidden="false" customHeight="true" outlineLevel="0" collapsed="false">
      <c r="A9" s="3" t="s">
        <v>13</v>
      </c>
      <c r="B9" s="3" t="s">
        <v>6</v>
      </c>
      <c r="C9" s="3" t="n">
        <v>1526</v>
      </c>
      <c r="D9" s="3" t="n">
        <v>1.2407</v>
      </c>
      <c r="E9" s="3" t="n">
        <v>1229.9508</v>
      </c>
    </row>
    <row r="10" customFormat="false" ht="15" hidden="false" customHeight="true" outlineLevel="0" collapsed="false">
      <c r="A10" s="3" t="s">
        <v>14</v>
      </c>
      <c r="B10" s="3" t="s">
        <v>15</v>
      </c>
      <c r="C10" s="3" t="n">
        <v>1354</v>
      </c>
      <c r="D10" s="3" t="n">
        <v>1.195</v>
      </c>
      <c r="E10" s="3" t="n">
        <v>1133.0544</v>
      </c>
    </row>
    <row r="11" customFormat="false" ht="15" hidden="false" customHeight="true" outlineLevel="0" collapsed="false">
      <c r="A11" s="3" t="s">
        <v>16</v>
      </c>
      <c r="B11" s="3" t="s">
        <v>15</v>
      </c>
      <c r="C11" s="3" t="n">
        <v>1196</v>
      </c>
      <c r="D11" s="3" t="n">
        <v>1.3496</v>
      </c>
      <c r="E11" s="3" t="n">
        <v>886.1885</v>
      </c>
    </row>
    <row r="12" customFormat="false" ht="15" hidden="false" customHeight="true" outlineLevel="0" collapsed="false">
      <c r="A12" s="3" t="s">
        <v>17</v>
      </c>
      <c r="B12" s="3" t="s">
        <v>15</v>
      </c>
      <c r="C12" s="3" t="n">
        <v>380</v>
      </c>
      <c r="D12" s="3" t="n">
        <v>0.8474</v>
      </c>
      <c r="E12" s="3" t="n">
        <v>448.4305</v>
      </c>
    </row>
    <row r="13" customFormat="false" ht="15" hidden="false" customHeight="true" outlineLevel="0" collapsed="false">
      <c r="A13" s="3" t="s">
        <v>18</v>
      </c>
      <c r="B13" s="3" t="s">
        <v>15</v>
      </c>
      <c r="C13" s="3" t="n">
        <v>499</v>
      </c>
      <c r="D13" s="3" t="n">
        <v>1.0836</v>
      </c>
      <c r="E13" s="3" t="n">
        <v>460.502</v>
      </c>
    </row>
    <row r="14" customFormat="false" ht="15" hidden="false" customHeight="true" outlineLevel="0" collapsed="false">
      <c r="A14" s="3" t="s">
        <v>19</v>
      </c>
      <c r="B14" s="3" t="s">
        <v>15</v>
      </c>
      <c r="C14" s="3" t="n">
        <v>277</v>
      </c>
      <c r="D14" s="3" t="n">
        <v>0.4676</v>
      </c>
      <c r="E14" s="3" t="n">
        <v>592.3867</v>
      </c>
    </row>
    <row r="15" customFormat="false" ht="15" hidden="false" customHeight="true" outlineLevel="0" collapsed="false">
      <c r="A15" s="3" t="s">
        <v>20</v>
      </c>
      <c r="B15" s="3" t="s">
        <v>15</v>
      </c>
      <c r="C15" s="3" t="n">
        <v>920</v>
      </c>
      <c r="D15" s="3" t="n">
        <v>1.1255</v>
      </c>
      <c r="E15" s="3" t="n">
        <v>817.4145</v>
      </c>
    </row>
    <row r="16" customFormat="false" ht="15" hidden="false" customHeight="true" outlineLevel="0" collapsed="false">
      <c r="A16" s="3" t="s">
        <v>21</v>
      </c>
      <c r="B16" s="3" t="s">
        <v>15</v>
      </c>
      <c r="C16" s="3" t="n">
        <v>1052</v>
      </c>
      <c r="D16" s="3" t="n">
        <v>1.21</v>
      </c>
      <c r="E16" s="3" t="n">
        <v>869.4215</v>
      </c>
    </row>
    <row r="17" customFormat="false" ht="15" hidden="false" customHeight="true" outlineLevel="0" collapsed="false">
      <c r="A17" s="3" t="s">
        <v>22</v>
      </c>
      <c r="B17" s="3" t="s">
        <v>15</v>
      </c>
      <c r="C17" s="3" t="n">
        <v>712</v>
      </c>
      <c r="D17" s="3" t="n">
        <v>0.7508</v>
      </c>
      <c r="E17" s="3" t="n">
        <v>948.3218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7" min="2" style="1" width="13"/>
  </cols>
  <sheetData>
    <row r="1" customFormat="false" ht="15" hidden="false" customHeight="true" outlineLevel="0" collapsed="false">
      <c r="A1" s="4" t="s">
        <v>23</v>
      </c>
    </row>
    <row r="3" customFormat="false" ht="15" hidden="false" customHeight="true" outlineLevel="0" collapsed="false">
      <c r="A3" s="2" t="s">
        <v>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</row>
    <row r="4" customFormat="false" ht="15" hidden="false" customHeight="true" outlineLevel="0" collapsed="false">
      <c r="A4" s="3" t="s">
        <v>6</v>
      </c>
      <c r="B4" s="3" t="n">
        <f aca="false">COUNT('Sample data'!E2:E9)</f>
        <v>8</v>
      </c>
      <c r="C4" s="3" t="n">
        <f aca="false">AVERAGE('Sample data'!E2:E9)</f>
        <v>1754.9827</v>
      </c>
      <c r="D4" s="3" t="n">
        <f aca="false">MEDIAN('Sample data'!E2:E9)</f>
        <v>1799.3143</v>
      </c>
      <c r="E4" s="3" t="n">
        <f aca="false">STDEV('Sample data'!E2:E9)</f>
        <v>325.222018970316</v>
      </c>
      <c r="F4" s="3" t="n">
        <f aca="false">STDEV('Sample data'!E2:E9)/SQRT(COUNT('Sample data'!E2:E9))</f>
        <v>114.983347502545</v>
      </c>
      <c r="G4" s="3" t="n">
        <v>1</v>
      </c>
    </row>
    <row r="5" customFormat="false" ht="15" hidden="false" customHeight="true" outlineLevel="0" collapsed="false">
      <c r="A5" s="3" t="s">
        <v>15</v>
      </c>
      <c r="B5" s="3" t="n">
        <f aca="false">COUNT('Sample data'!E10:E17)</f>
        <v>8</v>
      </c>
      <c r="C5" s="3" t="n">
        <f aca="false">AVERAGE('Sample data'!E10:E17)</f>
        <v>769.4649875</v>
      </c>
      <c r="D5" s="3" t="n">
        <f aca="false">MEDIAN('Sample data'!E10:E17)</f>
        <v>843.418</v>
      </c>
      <c r="E5" s="3" t="n">
        <f aca="false">STDEV('Sample data'!E10:E17)</f>
        <v>244.943097906283</v>
      </c>
      <c r="F5" s="3" t="n">
        <f aca="false">STDEV('Sample data'!E10:E17)/SQRT(COUNT('Sample data'!E10:E17))</f>
        <v>86.6004627671866</v>
      </c>
      <c r="G5" s="3" t="n">
        <f aca="false">C5/C4</f>
        <v>0.438445910321509</v>
      </c>
    </row>
    <row r="7" customFormat="false" ht="15" hidden="false" customHeight="true" outlineLevel="0" collapsed="false">
      <c r="A7" s="5" t="s">
        <v>30</v>
      </c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</row>
  </sheetData>
  <mergeCells count="1">
    <mergeCell ref="A7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2026-08-13T00:54:24Z</dcterms:created>
  <dc:creator>openpyxl</dc:creator>
  <dc:description/>
  <dc:language>en-US</dc:language>
  <cp:lastModifiedBy/>
  <dcterms:modified xsi:type="dcterms:W3CDTF">2026-08-13T01:24:45Z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